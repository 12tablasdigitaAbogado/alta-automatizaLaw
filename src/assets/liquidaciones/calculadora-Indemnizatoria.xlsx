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quidación" sheetId="1" state="visible" r:id="rId1"/>
    <sheet xmlns:r="http://schemas.openxmlformats.org/officeDocument/2006/relationships" name="Diferencias salarial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\$#,##0"/>
    <numFmt numFmtId="166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color rgb="FF1F4E79"/>
      <sz val="13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6E0B4"/>
      </patternFill>
    </fill>
    <fill>
      <patternFill patternType="solid">
        <fgColor rgb="FFC6E0B4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164" fontId="8" fillId="3" borderId="1" applyAlignment="1" pivotButton="0" quotePrefix="0" xfId="0">
      <alignment horizontal="center" vertical="bottom"/>
    </xf>
    <xf numFmtId="165" fontId="8" fillId="3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166" fontId="8" fillId="3" borderId="1" applyAlignment="1" pivotButton="0" quotePrefix="0" xfId="0">
      <alignment horizontal="center" vertical="bottom"/>
    </xf>
    <xf numFmtId="1" fontId="9" fillId="0" borderId="1" applyAlignment="1" pivotButton="0" quotePrefix="0" xfId="0">
      <alignment horizontal="right" vertical="bottom"/>
    </xf>
    <xf numFmtId="165" fontId="9" fillId="0" borderId="1" applyAlignment="1" pivotButton="0" quotePrefix="0" xfId="0">
      <alignment horizontal="right" vertical="bottom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right" vertical="bottom"/>
    </xf>
    <xf numFmtId="165" fontId="11" fillId="5" borderId="1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164" fontId="8" fillId="3" borderId="1" applyAlignment="1" pivotButton="0" quotePrefix="0" xfId="0">
      <alignment horizontal="center" vertical="bottom"/>
    </xf>
    <xf numFmtId="165" fontId="8" fillId="3" borderId="1" applyAlignment="1" pivotButton="0" quotePrefix="0" xfId="0">
      <alignment horizontal="center" vertical="bottom"/>
    </xf>
    <xf numFmtId="166" fontId="8" fillId="3" borderId="1" applyAlignment="1" pivotButton="0" quotePrefix="0" xfId="0">
      <alignment horizontal="center" vertical="bottom"/>
    </xf>
    <xf numFmtId="1" fontId="9" fillId="0" borderId="1" applyAlignment="1" pivotButton="0" quotePrefix="0" xfId="0">
      <alignment horizontal="right" vertical="bottom"/>
    </xf>
    <xf numFmtId="165" fontId="9" fillId="0" borderId="1" applyAlignment="1" pivotButton="0" quotePrefix="0" xfId="0">
      <alignment horizontal="right" vertical="bottom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right" vertical="bottom"/>
    </xf>
    <xf numFmtId="165" fontId="11" fillId="5" borderId="1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F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24" min="1" max="1"/>
    <col width="52" customWidth="1" style="24" min="2" max="2"/>
    <col width="2" customWidth="1" style="24" min="3" max="3"/>
    <col width="16" customWidth="1" style="24" min="4" max="4"/>
    <col width="2" customWidth="1" style="24" min="5" max="5"/>
    <col width="60" customWidth="1" style="24" min="6" max="6"/>
  </cols>
  <sheetData>
    <row r="1" ht="17.35" customHeight="1" s="25">
      <c r="B1" s="26" t="inlineStr">
        <is>
          <t>CALCULADORA INDEMNIZATORIA — LIQUIDACIÓN POR DESPIDO (MODELO)</t>
        </is>
      </c>
    </row>
    <row r="2" ht="15" customHeight="1" s="25">
      <c r="B2" s="27" t="inlineStr">
        <is>
          <t>Modelo base. Celdas amarillas = datos a completar. El resto se calcula con fórmulas. Marco: LCT + Ley 27.802 (Modernización Laboral, vig. 6/3/2026). Borrador para revisión del abogado.</t>
        </is>
      </c>
    </row>
    <row r="4" ht="15" customHeight="1" s="25">
      <c r="B4" s="28" t="inlineStr">
        <is>
          <t>DATOS DEL CASO</t>
        </is>
      </c>
    </row>
    <row r="5" ht="15" customHeight="1" s="25">
      <c r="B5" s="29" t="inlineStr">
        <is>
          <t>Trabajador</t>
        </is>
      </c>
      <c r="D5" s="30" t="inlineStr">
        <is>
          <t>(Nombre del trabajador/a)</t>
        </is>
      </c>
    </row>
    <row r="6" ht="15" customHeight="1" s="25">
      <c r="B6" s="29" t="inlineStr">
        <is>
          <t>Empleador (demandado)</t>
        </is>
      </c>
      <c r="D6" s="30" t="inlineStr">
        <is>
          <t>(Razón social del empleador)</t>
        </is>
      </c>
    </row>
    <row r="7" ht="15" customHeight="1" s="25">
      <c r="B7" s="29" t="inlineStr">
        <is>
          <t>Fecha de ingreso</t>
        </is>
      </c>
      <c r="D7" s="31" t="n">
        <v>43160</v>
      </c>
    </row>
    <row r="8" ht="15" customHeight="1" s="25">
      <c r="B8" s="29" t="inlineStr">
        <is>
          <t>Fecha de despido</t>
        </is>
      </c>
      <c r="D8" s="31" t="n">
        <v>45976</v>
      </c>
    </row>
    <row r="9" ht="15" customHeight="1" s="25">
      <c r="B9" s="29" t="inlineStr">
        <is>
          <t>Mejor remuneración mensual normal y habitual (base art. 245)</t>
        </is>
      </c>
      <c r="D9" s="32" t="n">
        <v>850000</v>
      </c>
    </row>
    <row r="10" ht="15" customHeight="1" s="25">
      <c r="B10" s="29" t="inlineStr">
        <is>
          <t>Remuneración mensual de referencia (preaviso/integ./SAC/vac.)</t>
        </is>
      </c>
      <c r="D10" s="32">
        <f>D9</f>
        <v/>
      </c>
      <c r="F10" s="27" t="inlineStr">
        <is>
          <t>Por defecto = base. Cambialo si difiere.</t>
        </is>
      </c>
    </row>
    <row r="11" ht="15" customHeight="1" s="25">
      <c r="B11" s="29" t="inlineStr">
        <is>
          <t>Tope del CCT — base máx. art. 245 (0 = sin tope)</t>
        </is>
      </c>
      <c r="D11" s="32" t="n">
        <v>0</v>
      </c>
    </row>
    <row r="12" ht="15" customHeight="1" s="25">
      <c r="B12" s="29" t="inlineStr">
        <is>
          <t>¿Aplica corrección Vizzoti (piso 67%)?</t>
        </is>
      </c>
      <c r="D12" s="30" t="inlineStr">
        <is>
          <t>SI</t>
        </is>
      </c>
    </row>
    <row r="13" ht="15" customHeight="1" s="25">
      <c r="B13" s="29" t="inlineStr">
        <is>
          <t>¿Se otorgó preaviso?</t>
        </is>
      </c>
      <c r="D13" s="30" t="inlineStr">
        <is>
          <t>NO</t>
        </is>
      </c>
    </row>
    <row r="14" ht="15" customHeight="1" s="25">
      <c r="B14" s="29" t="inlineStr">
        <is>
          <t>Mejor remuneración del semestre (para SAC)</t>
        </is>
      </c>
      <c r="D14" s="32">
        <f>D9</f>
        <v/>
      </c>
    </row>
    <row r="15" ht="15" customHeight="1" s="25">
      <c r="B15" s="29" t="inlineStr">
        <is>
          <t>Haberes del mes adeudados ($)</t>
        </is>
      </c>
      <c r="D15" s="32" t="n">
        <v>0</v>
      </c>
    </row>
    <row r="16" ht="15" customHeight="1" s="25">
      <c r="B16" s="29" t="inlineStr">
        <is>
          <t>¿Incluir multa duplicación indemniz. (ley 25.323 art.1 / 24.013)?</t>
        </is>
      </c>
      <c r="D16" s="30" t="inlineStr">
        <is>
          <t>NO</t>
        </is>
      </c>
      <c r="F16" s="27" t="inlineStr">
        <is>
          <t>Derogada para extinciones desde 9/7/2024 (Ley 27.742). Por defecto NO.</t>
        </is>
      </c>
    </row>
    <row r="17" ht="15" customHeight="1" s="25">
      <c r="B17" s="29" t="inlineStr">
        <is>
          <t>¿Incluir incremento 50% por obligar a litigar (ley 25.323 art.2)?</t>
        </is>
      </c>
      <c r="D17" s="30" t="inlineStr">
        <is>
          <t>NO</t>
        </is>
      </c>
      <c r="F17" s="27" t="inlineStr">
        <is>
          <t>Derogado para extinciones desde 9/7/2024 (Ley 27.742). Por defecto NO.</t>
        </is>
      </c>
    </row>
    <row r="18" ht="15" customHeight="1" s="25">
      <c r="B18" s="29" t="inlineStr">
        <is>
          <t>¿Incluir multa art. 80 LCT (3 × mejor remuneración)?</t>
        </is>
      </c>
      <c r="D18" s="30" t="inlineStr">
        <is>
          <t>NO</t>
        </is>
      </c>
      <c r="F18" s="27" t="inlineStr">
        <is>
          <t>Multa de 3 sueldos DEROGADA (Ley 27.742; la Ley 27.802 digitaliza el certificado vía ARCA). Por defecto NO; sólo como rubro subsidiario (planteo de inconstitucionalidad).</t>
        </is>
      </c>
    </row>
    <row r="19" ht="15" customHeight="1" s="25">
      <c r="B19" s="29" t="inlineStr">
        <is>
          <t>Reparación integral ($, monto manual; 0 si no aplica)</t>
        </is>
      </c>
      <c r="D19" s="32" t="n">
        <v>0</v>
      </c>
    </row>
    <row r="20" ht="15" customHeight="1" s="25">
      <c r="B20" s="29" t="inlineStr">
        <is>
          <t>Actualización IPC + 3% anual (art. 276 LCT) — % efectivo anual</t>
        </is>
      </c>
      <c r="D20" s="33" t="n">
        <v>0</v>
      </c>
      <c r="F20" s="27" t="inlineStr">
        <is>
          <t>Causas nuevas: IPC-INDEC + 3% anual puro desde la mora (art. 276 LCT, Ley 27.802). Cargá el % efectivo del período o dejá 0 para capital histórico.</t>
        </is>
      </c>
    </row>
    <row r="21" ht="15" customHeight="1" s="25">
      <c r="B21" s="29" t="inlineStr">
        <is>
          <t>Fecha de cálculo (para intereses)</t>
        </is>
      </c>
      <c r="D21" s="31">
        <f>D8</f>
        <v/>
      </c>
    </row>
    <row r="23" ht="15" customHeight="1" s="25">
      <c r="B23" s="28" t="inlineStr">
        <is>
          <t>CÁLCULOS BASE</t>
        </is>
      </c>
    </row>
    <row r="24" ht="15" customHeight="1" s="25">
      <c r="B24" s="29" t="inlineStr">
        <is>
          <t>Antigüedad — años computables (fracción &gt; 3 meses suma 1)</t>
        </is>
      </c>
      <c r="D24" s="34">
        <f>DATEDIF(D7,D8,"Y")+IF((DATEDIF(D7,D8,"YM")+DATEDIF(D7,D8,"MD")/30)&gt;3,1,0)</f>
        <v/>
      </c>
      <c r="F24" s="27" t="inlineStr">
        <is>
          <t>Art. 245 LCT.</t>
        </is>
      </c>
    </row>
    <row r="25" ht="15" customHeight="1" s="25">
      <c r="B25" s="29" t="inlineStr">
        <is>
          <t>Base art. 245 (con tope y Vizzoti)</t>
        </is>
      </c>
      <c r="D25" s="35">
        <f>IF(D12="SI",MAX(IF(D11&gt;0,MIN(D9,D11),D9),0.67*D9),IF(D11&gt;0,MIN(D9,D11),D9))</f>
        <v/>
      </c>
      <c r="F25" s="27" t="inlineStr">
        <is>
          <t>Vizzoti: el tope no puede reducir la base por debajo del 67% de la MRMNyH.</t>
        </is>
      </c>
    </row>
    <row r="27" ht="15" customHeight="1" s="25">
      <c r="B27" s="36" t="inlineStr">
        <is>
          <t>LIQUIDACIÓN</t>
        </is>
      </c>
      <c r="D27" s="37" t="inlineStr">
        <is>
          <t>Importe</t>
        </is>
      </c>
    </row>
    <row r="28" ht="15" customHeight="1" s="25">
      <c r="B28" s="29" t="inlineStr">
        <is>
          <t>Indemnización por antigüedad (art. 245)</t>
        </is>
      </c>
      <c r="D28" s="35">
        <f>MAX(D25*D24,D25)</f>
        <v/>
      </c>
      <c r="F28" s="27" t="inlineStr">
        <is>
          <t>Base × años; piso de 1 mes de base.</t>
        </is>
      </c>
    </row>
    <row r="29" ht="15" customHeight="1" s="25">
      <c r="B29" s="29" t="inlineStr">
        <is>
          <t>Indemnización sustitutiva de preaviso (art. 232)</t>
        </is>
      </c>
      <c r="D29" s="35">
        <f>IF(D13="SI",0,D10*IF(YEARFRAC(D7,D8)&lt;=0.25,0.5,IF(YEARFRAC(D7,D8)&lt;=5,1,2)))</f>
        <v/>
      </c>
      <c r="F29" s="27" t="inlineStr">
        <is>
          <t>0,5 mes (≤3 meses) · 1 mes (≤5 años) · 2 meses (&gt;5 años).</t>
        </is>
      </c>
    </row>
    <row r="30" ht="15" customHeight="1" s="25">
      <c r="B30" s="29" t="inlineStr">
        <is>
          <t>SAC sobre preaviso</t>
        </is>
      </c>
      <c r="D30" s="35">
        <f>D29/12</f>
        <v/>
      </c>
    </row>
    <row r="31" ht="15" customHeight="1" s="25">
      <c r="B31" s="29" t="inlineStr">
        <is>
          <t>Integración del mes de despido (art. 233)</t>
        </is>
      </c>
      <c r="D31" s="35">
        <f>IF(D13="SI",0,(D10/DAY(EOMONTH(D8,0)))*(DAY(EOMONTH(D8,0))-DAY(D8)))</f>
        <v/>
      </c>
      <c r="F31" s="27" t="inlineStr">
        <is>
          <t>Días del mes posteriores al despido.</t>
        </is>
      </c>
    </row>
    <row r="32" ht="15" customHeight="1" s="25">
      <c r="B32" s="29" t="inlineStr">
        <is>
          <t>SAC sobre integración</t>
        </is>
      </c>
      <c r="D32" s="35">
        <f>D31/12</f>
        <v/>
      </c>
    </row>
    <row r="33" ht="15" customHeight="1" s="25">
      <c r="B33" s="29" t="inlineStr">
        <is>
          <t>SAC proporcional</t>
        </is>
      </c>
      <c r="D33" s="35">
        <f>(D14/2)*((D8-MAX(D7,DATE(YEAR(D8),IF(MONTH(D8)&lt;=6,1,7),1)))/(EOMONTH(DATE(YEAR(D8),IF(MONTH(D8)&lt;=6,1,7),1),5)-DATE(YEAR(D8),IF(MONTH(D8)&lt;=6,1,7),1)+1))</f>
        <v/>
      </c>
      <c r="F33" s="27" t="inlineStr">
        <is>
          <t>Proporcional del semestre en curso.</t>
        </is>
      </c>
    </row>
    <row r="34" ht="15" customHeight="1" s="25">
      <c r="B34" s="29" t="inlineStr">
        <is>
          <t>Vacaciones no gozadas (art. 156)</t>
        </is>
      </c>
      <c r="D34" s="35">
        <f>IF(D24&lt;=5,14,IF(D24&lt;=10,21,IF(D24&lt;=20,28,35)))*((D8-MAX(D7,DATE(YEAR(D8),1,1)))/365)*(D10/25)</f>
        <v/>
      </c>
      <c r="F34" s="27" t="inlineStr">
        <is>
          <t>Días según antigüedad, proporcional al año; valor día = remuneración/25.</t>
        </is>
      </c>
    </row>
    <row r="35" ht="15" customHeight="1" s="25">
      <c r="B35" s="29" t="inlineStr">
        <is>
          <t>Haberes del mes adeudados</t>
        </is>
      </c>
      <c r="D35" s="35">
        <f>D15</f>
        <v/>
      </c>
    </row>
    <row r="36" ht="15" customHeight="1" s="25">
      <c r="B36" s="38" t="inlineStr">
        <is>
          <t>TOTAL CAPITAL DIRECTO (rubros vigentes: arts. 245, 232, 233, SAC, 156, haberes)</t>
        </is>
      </c>
      <c r="D36" s="39">
        <f>SUM(D28:D35)</f>
        <v/>
      </c>
    </row>
    <row r="37" ht="15" customHeight="1" s="25">
      <c r="B37" s="29" t="inlineStr">
        <is>
          <t>Multa duplicación indemnización (ley 25.323 art.1) — SUBSIDIARIO</t>
        </is>
      </c>
      <c r="D37" s="35">
        <f>IF(D16="SI",D28,0)</f>
        <v/>
      </c>
    </row>
    <row r="38" ht="15" customHeight="1" s="25">
      <c r="B38" s="29" t="inlineStr">
        <is>
          <t>Incremento 50% (ley 25.323 art.2) — SUBSIDIARIO</t>
        </is>
      </c>
      <c r="D38" s="35">
        <f>IF(D17="SI",0.5*(D28+D29+D31),0)</f>
        <v/>
      </c>
    </row>
    <row r="39" ht="15" customHeight="1" s="25">
      <c r="B39" s="29" t="inlineStr">
        <is>
          <t>Multa art. 80 LCT (3 remuneraciones) — SUBSIDIARIO</t>
        </is>
      </c>
      <c r="D39" s="35">
        <f>IF(D18="SI",3*D9,0)</f>
        <v/>
      </c>
    </row>
    <row r="40" ht="15" customHeight="1" s="25">
      <c r="B40" s="29" t="inlineStr">
        <is>
          <t>Reparación integral por deficiente registración — SUBSIDIARIO</t>
        </is>
      </c>
      <c r="D40" s="35">
        <f>D19</f>
        <v/>
      </c>
    </row>
    <row r="41" ht="15" customHeight="1" s="25">
      <c r="B41" s="38" t="inlineStr">
        <is>
          <t>SUBTOTAL RUBROS SUBSIDIARIOS (derogados/condicionales; NO integran el capital directo — sólo si prospera la inconstitucionalidad)</t>
        </is>
      </c>
      <c r="D41" s="39">
        <f>SUM(D37:D40)</f>
        <v/>
      </c>
    </row>
    <row r="42" ht="15" customHeight="1" s="25">
      <c r="B42" s="29" t="inlineStr">
        <is>
          <t>Actualización IPC + 3% anual sobre el capital directo (art. 276 LCT)</t>
        </is>
      </c>
      <c r="D42" s="35">
        <f>IF(AND(D20&gt;0,D21&gt;D8),D36*D20*((D21-D8)/365),0)</f>
        <v/>
      </c>
    </row>
    <row r="43" ht="15" customHeight="1" s="25">
      <c r="B43" s="38" t="inlineStr">
        <is>
          <t>TOTAL CAPITAL DIRECTO (con actualización)</t>
        </is>
      </c>
      <c r="D43" s="40">
        <f>D36+D42</f>
        <v/>
      </c>
    </row>
    <row r="44">
      <c r="B44" t="inlineStr">
        <is>
          <t>TOTAL con rubros subsidiarios (sólo si prospera la inconstitucionalidad) = directo + subsidiarios</t>
        </is>
      </c>
      <c r="D44">
        <f>D43+D41</f>
        <v/>
      </c>
    </row>
    <row r="45" ht="15" customHeight="1" s="25">
      <c r="B45" s="38" t="inlineStr">
        <is>
          <t>NOTAS</t>
        </is>
      </c>
    </row>
    <row r="46" ht="15" customHeight="1" s="25">
      <c r="B46" s="27" t="inlineStr">
        <is>
          <t>• Regla no negociable: para diferencias salariales usar la escala del CCT vigente a la fecha del despido, nunca el salario del telegrama (ver hoja «Diferencias salariales»).</t>
        </is>
      </c>
    </row>
    <row r="47" ht="15" customHeight="1" s="25">
      <c r="B47" s="27" t="inlineStr">
        <is>
          <t>• Multas por registración (leyes 24.013 y 25.323, arts. 1 y 2) y multa del art. 80 LCT (3 sueldos): derogadas (Ley 27.742; régimen mantenido por la Ley 27.802). La registración deficiente se remite a ARCA (art. 278 LCT) por aportes/contribuciones + multas administrativas. Por eso vienen apagadas; el reclamo del trabajador por la clandestinidad va por reparación integral / planteo de inconstitucionalidad (criterio del estudio).</t>
        </is>
      </c>
    </row>
    <row r="48" ht="15" customHeight="1" s="25">
      <c r="B48" s="27" t="inlineStr">
        <is>
          <t>• FAL (Fondo de Asistencia Laboral, Ley 27.802, art. 58): NO modifica ni reduce la indemnización — el trabajador conserva el crédito íntegro del art. 245 contra el empleador. El 245 sólo deja de aplicarse si un CCT adoptó el FAL como reemplazo total (excepcional).</t>
        </is>
      </c>
    </row>
    <row r="49" ht="15" customHeight="1" s="25">
      <c r="B49" s="27" t="inlineStr">
        <is>
          <t>• Actualización de créditos: causas nuevas, IPC + 3% anual (art. 276 LCT); juicios en trámite, régimen transitorio del art. 55 (tasa pasiva BCRA con techo IPC+3% y piso 67%).</t>
        </is>
      </c>
    </row>
    <row r="50" ht="15" customHeight="1" s="25">
      <c r="B50" s="27" t="inlineStr">
        <is>
          <t>• Todo es borrador para revisión y firma del abogado.</t>
        </is>
      </c>
    </row>
  </sheetData>
  <mergeCells count="11">
    <mergeCell ref="B47:F47"/>
    <mergeCell ref="B2:F2"/>
    <mergeCell ref="B23:D23"/>
    <mergeCell ref="B48:F48"/>
    <mergeCell ref="B4:D4"/>
    <mergeCell ref="B45:F45"/>
    <mergeCell ref="B46:F46"/>
    <mergeCell ref="B1:F1"/>
    <mergeCell ref="B27:C27"/>
    <mergeCell ref="B50:F50"/>
    <mergeCell ref="B49:F49"/>
  </mergeCells>
  <dataValidations count="1">
    <dataValidation sqref="D12:D13 D16:D18" showDropDown="0" showInputMessage="0" showErrorMessage="0" allowBlank="1" type="list" errorStyle="stop" operator="between">
      <formula1>"SI,NO"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E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24" min="1" max="1"/>
    <col width="18" customWidth="1" style="24" min="2" max="2"/>
    <col width="28" customWidth="1" style="24" min="3" max="3"/>
    <col width="22" customWidth="1" style="24" min="4" max="5"/>
  </cols>
  <sheetData>
    <row r="1" ht="16.15" customHeight="1" s="25">
      <c r="B1" s="41" t="inlineStr">
        <is>
          <t>DIFERENCIAS SALARIALES (mes a mes)</t>
        </is>
      </c>
    </row>
    <row r="2" ht="15" customHeight="1" s="25">
      <c r="B2" s="27" t="inlineStr">
        <is>
          <t>Completá la escala del CCT vigente a la fecha del despido y lo efectivamente percibido. Diferencia = escala − percibido.</t>
        </is>
      </c>
    </row>
    <row r="4" ht="15" customHeight="1" s="25">
      <c r="B4" s="42" t="inlineStr">
        <is>
          <t>Mes</t>
        </is>
      </c>
      <c r="C4" s="42" t="inlineStr">
        <is>
          <t>Remuneración según escala CCT</t>
        </is>
      </c>
      <c r="D4" s="42" t="inlineStr">
        <is>
          <t>Percibido</t>
        </is>
      </c>
      <c r="E4" s="42" t="inlineStr">
        <is>
          <t>Diferencia</t>
        </is>
      </c>
    </row>
    <row r="5" ht="15" customHeight="1" s="25">
      <c r="B5" s="43" t="n"/>
      <c r="C5" s="44" t="n">
        <v>0</v>
      </c>
      <c r="D5" s="44" t="n">
        <v>0</v>
      </c>
      <c r="E5" s="45">
        <f>C5-D5</f>
        <v/>
      </c>
    </row>
    <row r="6" ht="15" customHeight="1" s="25">
      <c r="B6" s="43" t="n"/>
      <c r="C6" s="44" t="n">
        <v>0</v>
      </c>
      <c r="D6" s="44" t="n">
        <v>0</v>
      </c>
      <c r="E6" s="45">
        <f>C6-D6</f>
        <v/>
      </c>
    </row>
    <row r="7" ht="15" customHeight="1" s="25">
      <c r="B7" s="43" t="n"/>
      <c r="C7" s="44" t="n">
        <v>0</v>
      </c>
      <c r="D7" s="44" t="n">
        <v>0</v>
      </c>
      <c r="E7" s="45">
        <f>C7-D7</f>
        <v/>
      </c>
    </row>
    <row r="8" ht="15" customHeight="1" s="25">
      <c r="B8" s="43" t="n"/>
      <c r="C8" s="44" t="n">
        <v>0</v>
      </c>
      <c r="D8" s="44" t="n">
        <v>0</v>
      </c>
      <c r="E8" s="45">
        <f>C8-D8</f>
        <v/>
      </c>
    </row>
    <row r="9" ht="15" customHeight="1" s="25">
      <c r="B9" s="43" t="n"/>
      <c r="C9" s="44" t="n">
        <v>0</v>
      </c>
      <c r="D9" s="44" t="n">
        <v>0</v>
      </c>
      <c r="E9" s="45">
        <f>C9-D9</f>
        <v/>
      </c>
    </row>
    <row r="10" ht="15" customHeight="1" s="25">
      <c r="B10" s="43" t="n"/>
      <c r="C10" s="44" t="n">
        <v>0</v>
      </c>
      <c r="D10" s="44" t="n">
        <v>0</v>
      </c>
      <c r="E10" s="45">
        <f>C10-D10</f>
        <v/>
      </c>
    </row>
    <row r="11" ht="15" customHeight="1" s="25">
      <c r="B11" s="43" t="n"/>
      <c r="C11" s="44" t="n">
        <v>0</v>
      </c>
      <c r="D11" s="44" t="n">
        <v>0</v>
      </c>
      <c r="E11" s="45">
        <f>C11-D11</f>
        <v/>
      </c>
    </row>
    <row r="12" ht="15" customHeight="1" s="25">
      <c r="B12" s="43" t="n"/>
      <c r="C12" s="44" t="n">
        <v>0</v>
      </c>
      <c r="D12" s="44" t="n">
        <v>0</v>
      </c>
      <c r="E12" s="45">
        <f>C12-D12</f>
        <v/>
      </c>
    </row>
    <row r="13" ht="15" customHeight="1" s="25">
      <c r="B13" s="43" t="n"/>
      <c r="C13" s="44" t="n">
        <v>0</v>
      </c>
      <c r="D13" s="44" t="n">
        <v>0</v>
      </c>
      <c r="E13" s="45">
        <f>C13-D13</f>
        <v/>
      </c>
    </row>
    <row r="14" ht="15" customHeight="1" s="25">
      <c r="B14" s="43" t="n"/>
      <c r="C14" s="44" t="n">
        <v>0</v>
      </c>
      <c r="D14" s="44" t="n">
        <v>0</v>
      </c>
      <c r="E14" s="45">
        <f>C14-D14</f>
        <v/>
      </c>
    </row>
    <row r="15" ht="15" customHeight="1" s="25">
      <c r="B15" s="43" t="n"/>
      <c r="C15" s="44" t="n">
        <v>0</v>
      </c>
      <c r="D15" s="44" t="n">
        <v>0</v>
      </c>
      <c r="E15" s="45">
        <f>C15-D15</f>
        <v/>
      </c>
    </row>
    <row r="16" ht="15" customHeight="1" s="25">
      <c r="B16" s="43" t="n"/>
      <c r="C16" s="44" t="n">
        <v>0</v>
      </c>
      <c r="D16" s="44" t="n">
        <v>0</v>
      </c>
      <c r="E16" s="45">
        <f>C16-D16</f>
        <v/>
      </c>
    </row>
    <row r="17" ht="15" customHeight="1" s="25">
      <c r="B17" s="43" t="n"/>
      <c r="C17" s="44" t="n">
        <v>0</v>
      </c>
      <c r="D17" s="44" t="n">
        <v>0</v>
      </c>
      <c r="E17" s="45">
        <f>C17-D17</f>
        <v/>
      </c>
    </row>
    <row r="18" ht="15" customHeight="1" s="25">
      <c r="B18" s="43" t="n"/>
      <c r="C18" s="44" t="n">
        <v>0</v>
      </c>
      <c r="D18" s="44" t="n">
        <v>0</v>
      </c>
      <c r="E18" s="45">
        <f>C18-D18</f>
        <v/>
      </c>
    </row>
    <row r="19" ht="15" customHeight="1" s="25">
      <c r="B19" s="43" t="n"/>
      <c r="C19" s="44" t="n">
        <v>0</v>
      </c>
      <c r="D19" s="44" t="n">
        <v>0</v>
      </c>
      <c r="E19" s="45">
        <f>C19-D19</f>
        <v/>
      </c>
    </row>
    <row r="20" ht="15" customHeight="1" s="25">
      <c r="B20" s="43" t="n"/>
      <c r="C20" s="44" t="n">
        <v>0</v>
      </c>
      <c r="D20" s="44" t="n">
        <v>0</v>
      </c>
      <c r="E20" s="45">
        <f>C20-D20</f>
        <v/>
      </c>
    </row>
    <row r="21" ht="15" customHeight="1" s="25">
      <c r="B21" s="43" t="n"/>
      <c r="C21" s="44" t="n">
        <v>0</v>
      </c>
      <c r="D21" s="44" t="n">
        <v>0</v>
      </c>
      <c r="E21" s="45">
        <f>C21-D21</f>
        <v/>
      </c>
    </row>
    <row r="22" ht="15" customHeight="1" s="25">
      <c r="B22" s="43" t="n"/>
      <c r="C22" s="44" t="n">
        <v>0</v>
      </c>
      <c r="D22" s="44" t="n">
        <v>0</v>
      </c>
      <c r="E22" s="45">
        <f>C22-D22</f>
        <v/>
      </c>
    </row>
    <row r="23" ht="15" customHeight="1" s="25">
      <c r="B23" s="43" t="n"/>
      <c r="C23" s="44" t="n">
        <v>0</v>
      </c>
      <c r="D23" s="44" t="n">
        <v>0</v>
      </c>
      <c r="E23" s="45">
        <f>C23-D23</f>
        <v/>
      </c>
    </row>
    <row r="24" ht="15" customHeight="1" s="25">
      <c r="B24" s="43" t="n"/>
      <c r="C24" s="44" t="n">
        <v>0</v>
      </c>
      <c r="D24" s="44" t="n">
        <v>0</v>
      </c>
      <c r="E24" s="45">
        <f>C24-D24</f>
        <v/>
      </c>
    </row>
    <row r="25" ht="15" customHeight="1" s="25">
      <c r="B25" s="43" t="n"/>
      <c r="C25" s="44" t="n">
        <v>0</v>
      </c>
      <c r="D25" s="44" t="n">
        <v>0</v>
      </c>
      <c r="E25" s="45">
        <f>C25-D25</f>
        <v/>
      </c>
    </row>
    <row r="26" ht="15" customHeight="1" s="25">
      <c r="B26" s="43" t="n"/>
      <c r="C26" s="44" t="n">
        <v>0</v>
      </c>
      <c r="D26" s="44" t="n">
        <v>0</v>
      </c>
      <c r="E26" s="45">
        <f>C26-D26</f>
        <v/>
      </c>
    </row>
    <row r="27" ht="15" customHeight="1" s="25">
      <c r="B27" s="43" t="n"/>
      <c r="C27" s="44" t="n">
        <v>0</v>
      </c>
      <c r="D27" s="44" t="n">
        <v>0</v>
      </c>
      <c r="E27" s="45">
        <f>C27-D27</f>
        <v/>
      </c>
    </row>
    <row r="28" ht="15" customHeight="1" s="25">
      <c r="B28" s="43" t="n"/>
      <c r="C28" s="44" t="n">
        <v>0</v>
      </c>
      <c r="D28" s="44" t="n">
        <v>0</v>
      </c>
      <c r="E28" s="45">
        <f>C28-D28</f>
        <v/>
      </c>
    </row>
    <row r="29" ht="15" customHeight="1" s="25">
      <c r="B29" s="38" t="inlineStr">
        <is>
          <t>TOTAL</t>
        </is>
      </c>
      <c r="E29" s="46">
        <f>SUM(E5:E28)</f>
        <v/>
      </c>
    </row>
    <row r="31" ht="15" customHeight="1" s="25">
      <c r="B31" s="27" t="inlineStr">
        <is>
          <t>Trasladá este total a «Reparación integral» u otro rubro de la liquidación según corresponda. Borrador para revisión del abogado.</t>
        </is>
      </c>
    </row>
  </sheetData>
  <mergeCells count="3">
    <mergeCell ref="B31:E31"/>
    <mergeCell ref="B1:E1"/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2026-06-23T01:16:25Z</dcterms:created>
  <dcterms:modified xmlns:dcterms="http://purl.org/dc/terms/" xmlns:xsi="http://www.w3.org/2001/XMLSchema-instance" xsi:type="dcterms:W3CDTF">2026-06-24T13:46:01Z</dcterms:modified>
  <cp:revision>0</cp:revision>
</cp:coreProperties>
</file>